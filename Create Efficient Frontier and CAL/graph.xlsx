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ngyuanyu/Desktop/"/>
    </mc:Choice>
  </mc:AlternateContent>
  <xr:revisionPtr revIDLastSave="0" documentId="13_ncr:1_{E91FBEBB-790E-524C-9288-6BD188E4B99A}" xr6:coauthVersionLast="47" xr6:coauthVersionMax="47" xr10:uidLastSave="{00000000-0000-0000-0000-000000000000}"/>
  <bookViews>
    <workbookView xWindow="0" yWindow="740" windowWidth="29400" windowHeight="17240" xr2:uid="{B28705DA-B0F6-4444-85F7-524B42892163}"/>
  </bookViews>
  <sheets>
    <sheet name="工作表1" sheetId="1" r:id="rId1"/>
  </sheets>
  <definedNames>
    <definedName name="solver_adj" localSheetId="0" hidden="1">工作表1!$A$17:$A$23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itr" localSheetId="0" hidden="1">2147483647</definedName>
    <definedName name="solver_lhs1" localSheetId="0" hidden="1">工作表1!$A$24</definedName>
    <definedName name="solver_lhs2" localSheetId="0" hidden="1">工作表1!$C$25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1</definedName>
    <definedName name="solver_opt" localSheetId="0" hidden="1">工作表1!$C$26</definedName>
    <definedName name="solver_pre" localSheetId="0" hidden="1">0.000001</definedName>
    <definedName name="solver_rbv" localSheetId="0" hidden="1">1</definedName>
    <definedName name="solver_rel1" localSheetId="0" hidden="1">2</definedName>
    <definedName name="solver_rel2" localSheetId="0" hidden="1">2</definedName>
    <definedName name="solver_rhs1" localSheetId="0" hidden="1">1</definedName>
    <definedName name="solver_rhs2" localSheetId="0" hidden="1">0.08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0.05</definedName>
    <definedName name="solver_ver" localSheetId="0" hidden="1">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1" i="1" l="1"/>
  <c r="L51" i="1"/>
  <c r="K51" i="1"/>
  <c r="J51" i="1"/>
  <c r="I51" i="1"/>
  <c r="H51" i="1"/>
  <c r="G51" i="1"/>
  <c r="F51" i="1"/>
  <c r="E51" i="1"/>
  <c r="D51" i="1"/>
  <c r="C51" i="1"/>
  <c r="C25" i="1"/>
  <c r="I15" i="1"/>
  <c r="I24" i="1" s="1"/>
  <c r="H15" i="1"/>
  <c r="H24" i="1" s="1"/>
  <c r="G15" i="1"/>
  <c r="G24" i="1" s="1"/>
  <c r="F15" i="1"/>
  <c r="F24" i="1" s="1"/>
  <c r="E15" i="1"/>
  <c r="E24" i="1" s="1"/>
  <c r="D15" i="1"/>
  <c r="D24" i="1" s="1"/>
  <c r="C15" i="1"/>
  <c r="C24" i="1" s="1"/>
  <c r="A24" i="1"/>
  <c r="C26" i="1" l="1"/>
  <c r="C27" i="1" s="1"/>
</calcChain>
</file>

<file path=xl/sharedStrings.xml><?xml version="1.0" encoding="utf-8"?>
<sst xmlns="http://schemas.openxmlformats.org/spreadsheetml/2006/main" count="61" uniqueCount="42">
  <si>
    <t>efficient frontier spreadsheet</t>
    <phoneticPr fontId="1" type="noConversion"/>
  </si>
  <si>
    <t>exepcted excess return ( risk premiums) of each country index</t>
    <phoneticPr fontId="1" type="noConversion"/>
  </si>
  <si>
    <t>U.S.</t>
    <phoneticPr fontId="1" type="noConversion"/>
  </si>
  <si>
    <t>U.K.</t>
    <phoneticPr fontId="1" type="noConversion"/>
  </si>
  <si>
    <t>France</t>
    <phoneticPr fontId="1" type="noConversion"/>
  </si>
  <si>
    <t>Germany</t>
    <phoneticPr fontId="1" type="noConversion"/>
  </si>
  <si>
    <t>Australia</t>
    <phoneticPr fontId="1" type="noConversion"/>
  </si>
  <si>
    <t>Japan</t>
    <phoneticPr fontId="1" type="noConversion"/>
  </si>
  <si>
    <t>Canada</t>
    <phoneticPr fontId="1" type="noConversion"/>
  </si>
  <si>
    <t>Panel B</t>
    <phoneticPr fontId="1" type="noConversion"/>
  </si>
  <si>
    <t>Panel A</t>
    <phoneticPr fontId="1" type="noConversion"/>
  </si>
  <si>
    <t>Bordered Covariance Matrix</t>
    <phoneticPr fontId="1" type="noConversion"/>
  </si>
  <si>
    <t>Portfolio Weights</t>
    <phoneticPr fontId="1" type="noConversion"/>
  </si>
  <si>
    <t xml:space="preserve">Japan </t>
    <phoneticPr fontId="1" type="noConversion"/>
  </si>
  <si>
    <t>Risk Prem</t>
    <phoneticPr fontId="1" type="noConversion"/>
  </si>
  <si>
    <t>Std Dev</t>
    <phoneticPr fontId="1" type="noConversion"/>
  </si>
  <si>
    <t>Sharpe</t>
    <phoneticPr fontId="1" type="noConversion"/>
  </si>
  <si>
    <t>Formulas used in key cells</t>
    <phoneticPr fontId="1" type="noConversion"/>
  </si>
  <si>
    <t>Cell A17-A23</t>
    <phoneticPr fontId="1" type="noConversion"/>
  </si>
  <si>
    <t>Cell C15</t>
    <phoneticPr fontId="1" type="noConversion"/>
  </si>
  <si>
    <t>Cell A24</t>
    <phoneticPr fontId="1" type="noConversion"/>
  </si>
  <si>
    <t>Cell C24</t>
    <phoneticPr fontId="1" type="noConversion"/>
  </si>
  <si>
    <t>Cell D24 through I24</t>
    <phoneticPr fontId="1" type="noConversion"/>
  </si>
  <si>
    <t>Cell C25</t>
    <phoneticPr fontId="1" type="noConversion"/>
  </si>
  <si>
    <t>Cell 26</t>
    <phoneticPr fontId="1" type="noConversion"/>
  </si>
  <si>
    <t>Cell27</t>
    <phoneticPr fontId="1" type="noConversion"/>
  </si>
  <si>
    <t>Panel C</t>
    <phoneticPr fontId="1" type="noConversion"/>
  </si>
  <si>
    <t>Various points along the efficient frontier.</t>
    <phoneticPr fontId="1" type="noConversion"/>
  </si>
  <si>
    <t>Risk Prem:</t>
    <phoneticPr fontId="1" type="noConversion"/>
  </si>
  <si>
    <t>Std Dev:</t>
    <phoneticPr fontId="1" type="noConversion"/>
  </si>
  <si>
    <t>Sharpe:</t>
    <phoneticPr fontId="1" type="noConversion"/>
  </si>
  <si>
    <t>CAL</t>
    <phoneticPr fontId="1" type="noConversion"/>
  </si>
  <si>
    <t>Risk premium along the CAL= StdDev of potfolio times slope of optimal risky portfolio (Cell H43)</t>
    <phoneticPr fontId="1" type="noConversion"/>
  </si>
  <si>
    <t>France0</t>
    <phoneticPr fontId="1" type="noConversion"/>
  </si>
  <si>
    <t>操作步驟</t>
  </si>
  <si>
    <t>1. 將課本expected excess returns 填入panel A、共變異數矩陣值填入panel B</t>
  </si>
  <si>
    <t>2. 在Panel B自己設各項權重（總和=1），橫排與豎排填入相同數值（權重）</t>
  </si>
  <si>
    <t>3. 由課本「formulas used in key cells」中的公式得出各組合的風險溢酬、變異數及夏普值</t>
  </si>
  <si>
    <t>4. 用solver求解出不同條件下（最小變異數、固定risk premium 、最大夏普值等等）各組的組內權重及risk premium, standard deviation, sharpe ratio （為容易檢查錯誤，過程中我所設的E(r)值皆與課本相同）</t>
  </si>
  <si>
    <t>5. 將4. 中solver得出的資訊填入panel C中</t>
  </si>
  <si>
    <t>6. 由公式：StdDev of potfolio times slope of optimal risky portfolio 算出各組合在CAL上的risk premium</t>
  </si>
  <si>
    <t>7. 作圖，縱軸為risk premium, 橫軸為standard deviation. 效率前緣由panel C中各組的risk premium 及standard deviation 求得。CAL由第51行中（即6. 算出之值）連線求得。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</si>
</sst>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00000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" altLang="zh-TW" sz="1800">
                <a:effectLst/>
              </a:rPr>
              <a:t>Efficient frontier and CAL for country stock indexes </a:t>
            </a:r>
            <a:endParaRPr lang="en" alt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Efficient Frontier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工作表1!$B$42:$L$42</c:f>
              <c:numCache>
                <c:formatCode>General</c:formatCode>
                <c:ptCount val="11"/>
                <c:pt idx="0">
                  <c:v>0.11410082000000001</c:v>
                </c:pt>
                <c:pt idx="1">
                  <c:v>0.1132094</c:v>
                </c:pt>
                <c:pt idx="2">
                  <c:v>0.11344406999999999</c:v>
                </c:pt>
                <c:pt idx="3">
                  <c:v>0.1168202</c:v>
                </c:pt>
                <c:pt idx="4">
                  <c:v>0.12390105</c:v>
                </c:pt>
                <c:pt idx="5">
                  <c:v>0.13409835000000001</c:v>
                </c:pt>
                <c:pt idx="6">
                  <c:v>0.13728989999999999</c:v>
                </c:pt>
                <c:pt idx="7">
                  <c:v>0.14016294000000001</c:v>
                </c:pt>
                <c:pt idx="8">
                  <c:v>0.14676773000000001</c:v>
                </c:pt>
                <c:pt idx="9">
                  <c:v>0.17731074999999999</c:v>
                </c:pt>
                <c:pt idx="10">
                  <c:v>0.21222940000000001</c:v>
                </c:pt>
              </c:numCache>
            </c:numRef>
          </c:xVal>
          <c:yVal>
            <c:numRef>
              <c:f>工作表1!$B$41:$L$41</c:f>
              <c:numCache>
                <c:formatCode>General</c:formatCode>
                <c:ptCount val="11"/>
                <c:pt idx="0">
                  <c:v>3.5000000000000003E-2</c:v>
                </c:pt>
                <c:pt idx="1">
                  <c:v>3.8306199999999999E-2</c:v>
                </c:pt>
                <c:pt idx="2">
                  <c:v>0.04</c:v>
                </c:pt>
                <c:pt idx="3">
                  <c:v>4.4999999999999998E-2</c:v>
                </c:pt>
                <c:pt idx="4">
                  <c:v>0.05</c:v>
                </c:pt>
                <c:pt idx="5">
                  <c:v>5.5E-2</c:v>
                </c:pt>
                <c:pt idx="6">
                  <c:v>5.6345300000000001E-2</c:v>
                </c:pt>
                <c:pt idx="7">
                  <c:v>5.7500000000000002E-2</c:v>
                </c:pt>
                <c:pt idx="8">
                  <c:v>0.06</c:v>
                </c:pt>
                <c:pt idx="9">
                  <c:v>7.0000060000000003E-2</c:v>
                </c:pt>
                <c:pt idx="10">
                  <c:v>0.08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815-7F44-8676-DD4DF0586AF4}"/>
            </c:ext>
          </c:extLst>
        </c:ser>
        <c:ser>
          <c:idx val="1"/>
          <c:order val="1"/>
          <c:tx>
            <c:v>CAL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工作表1!$B$42:$L$42</c:f>
              <c:numCache>
                <c:formatCode>General</c:formatCode>
                <c:ptCount val="11"/>
                <c:pt idx="0">
                  <c:v>0.11410082000000001</c:v>
                </c:pt>
                <c:pt idx="1">
                  <c:v>0.1132094</c:v>
                </c:pt>
                <c:pt idx="2">
                  <c:v>0.11344406999999999</c:v>
                </c:pt>
                <c:pt idx="3">
                  <c:v>0.1168202</c:v>
                </c:pt>
                <c:pt idx="4">
                  <c:v>0.12390105</c:v>
                </c:pt>
                <c:pt idx="5">
                  <c:v>0.13409835000000001</c:v>
                </c:pt>
                <c:pt idx="6">
                  <c:v>0.13728989999999999</c:v>
                </c:pt>
                <c:pt idx="7">
                  <c:v>0.14016294000000001</c:v>
                </c:pt>
                <c:pt idx="8">
                  <c:v>0.14676773000000001</c:v>
                </c:pt>
                <c:pt idx="9">
                  <c:v>0.17731074999999999</c:v>
                </c:pt>
                <c:pt idx="10">
                  <c:v>0.21222940000000001</c:v>
                </c:pt>
              </c:numCache>
            </c:numRef>
          </c:xVal>
          <c:yVal>
            <c:numRef>
              <c:f>工作表1!$B$51:$L$51</c:f>
              <c:numCache>
                <c:formatCode>General</c:formatCode>
                <c:ptCount val="11"/>
                <c:pt idx="0">
                  <c:v>4.6828208816856003E-2</c:v>
                </c:pt>
                <c:pt idx="1">
                  <c:v>4.6462360421520001E-2</c:v>
                </c:pt>
                <c:pt idx="2">
                  <c:v>4.6558671523956E-2</c:v>
                </c:pt>
                <c:pt idx="3">
                  <c:v>4.7944271738160002E-2</c:v>
                </c:pt>
                <c:pt idx="4">
                  <c:v>5.0850329051340001E-2</c:v>
                </c:pt>
                <c:pt idx="5">
                  <c:v>5.5035411102180007E-2</c:v>
                </c:pt>
                <c:pt idx="6">
                  <c:v>5.6345257690919998E-2</c:v>
                </c:pt>
                <c:pt idx="7">
                  <c:v>5.7524384335752007E-2</c:v>
                </c:pt>
                <c:pt idx="8">
                  <c:v>6.0235061483484009E-2</c:v>
                </c:pt>
                <c:pt idx="9">
                  <c:v>7.2770246756099999E-2</c:v>
                </c:pt>
                <c:pt idx="10">
                  <c:v>8.710123783752001E-2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815-7F44-8676-DD4DF0586A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0293200"/>
        <c:axId val="1360617408"/>
      </c:scatterChart>
      <c:valAx>
        <c:axId val="1360293200"/>
        <c:scaling>
          <c:orientation val="minMax"/>
          <c:max val="0.24"/>
          <c:min val="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Standard</a:t>
                </a:r>
                <a:r>
                  <a:rPr lang="en-US" altLang="zh-TW" baseline="0"/>
                  <a:t> Deviation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60617408"/>
        <c:crosses val="autoZero"/>
        <c:crossBetween val="midCat"/>
      </c:valAx>
      <c:valAx>
        <c:axId val="1360617408"/>
        <c:scaling>
          <c:orientation val="minMax"/>
          <c:min val="0.0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Risk premium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60293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2764225817500849"/>
          <c:y val="0.20814210615704215"/>
          <c:w val="0.17944117965647841"/>
          <c:h val="0.150273898322089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543612</xdr:colOff>
      <xdr:row>55</xdr:row>
      <xdr:rowOff>20854</xdr:rowOff>
    </xdr:from>
    <xdr:to>
      <xdr:col>11</xdr:col>
      <xdr:colOff>433113</xdr:colOff>
      <xdr:row>79</xdr:row>
      <xdr:rowOff>167580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43FB3E4D-A65D-C06F-9B7D-8A208672FA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993D8-BFA0-6D49-9C89-917B9C359125}">
  <dimension ref="A1:O52"/>
  <sheetViews>
    <sheetView tabSelected="1" topLeftCell="A8" zoomScale="86" zoomScaleNormal="69" workbookViewId="0">
      <selection activeCell="S31" sqref="S31"/>
    </sheetView>
  </sheetViews>
  <sheetFormatPr baseColWidth="10" defaultRowHeight="15"/>
  <cols>
    <col min="3" max="3" width="10.83203125" customWidth="1"/>
  </cols>
  <sheetData>
    <row r="1" spans="1:15">
      <c r="A1" t="s">
        <v>0</v>
      </c>
    </row>
    <row r="3" spans="1:15">
      <c r="A3" t="s">
        <v>10</v>
      </c>
      <c r="B3" t="s">
        <v>1</v>
      </c>
    </row>
    <row r="5" spans="1:15">
      <c r="A5" t="s">
        <v>2</v>
      </c>
      <c r="B5">
        <v>0.06</v>
      </c>
    </row>
    <row r="6" spans="1:15">
      <c r="A6" t="s">
        <v>3</v>
      </c>
      <c r="B6">
        <v>5.2999999999999999E-2</v>
      </c>
    </row>
    <row r="7" spans="1:15">
      <c r="A7" t="s">
        <v>4</v>
      </c>
      <c r="B7">
        <v>7.0000000000000007E-2</v>
      </c>
    </row>
    <row r="8" spans="1:15">
      <c r="A8" t="s">
        <v>5</v>
      </c>
      <c r="B8">
        <v>0.08</v>
      </c>
    </row>
    <row r="9" spans="1:15">
      <c r="A9" t="s">
        <v>6</v>
      </c>
      <c r="B9">
        <v>5.8000000000000003E-2</v>
      </c>
    </row>
    <row r="10" spans="1:15">
      <c r="A10" t="s">
        <v>7</v>
      </c>
      <c r="B10">
        <v>4.4999999999999998E-2</v>
      </c>
    </row>
    <row r="11" spans="1:15">
      <c r="A11" t="s">
        <v>8</v>
      </c>
      <c r="B11">
        <v>5.8999999999999997E-2</v>
      </c>
    </row>
    <row r="13" spans="1:15">
      <c r="A13" t="s">
        <v>9</v>
      </c>
      <c r="B13" t="s">
        <v>11</v>
      </c>
    </row>
    <row r="15" spans="1:15">
      <c r="A15" t="s">
        <v>12</v>
      </c>
      <c r="C15" s="1">
        <f>A17</f>
        <v>0.61495432735229971</v>
      </c>
      <c r="D15">
        <f>A18</f>
        <v>0.87017123632395432</v>
      </c>
      <c r="E15">
        <f>A19</f>
        <v>-0.19358432896332808</v>
      </c>
      <c r="F15">
        <f>A20</f>
        <v>-0.52380727558822271</v>
      </c>
      <c r="G15">
        <f>A21</f>
        <v>7.7396096593094404E-2</v>
      </c>
      <c r="H15">
        <f>A22</f>
        <v>0.20578182707548853</v>
      </c>
      <c r="I15">
        <f>A23</f>
        <v>-5.0911737018963496E-2</v>
      </c>
    </row>
    <row r="16" spans="1:15">
      <c r="C16" s="1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13</v>
      </c>
      <c r="I16" t="s">
        <v>8</v>
      </c>
      <c r="O16" t="s">
        <v>34</v>
      </c>
    </row>
    <row r="17" spans="1:15">
      <c r="A17" s="2">
        <v>0.61495432735229971</v>
      </c>
      <c r="B17" t="s">
        <v>2</v>
      </c>
      <c r="C17" s="1">
        <v>2.24E-2</v>
      </c>
      <c r="D17">
        <v>1.84E-2</v>
      </c>
      <c r="E17">
        <v>2.5000000000000001E-2</v>
      </c>
      <c r="F17">
        <v>2.8799999999999999E-2</v>
      </c>
      <c r="G17">
        <v>1.95E-2</v>
      </c>
      <c r="H17">
        <v>1.21E-2</v>
      </c>
      <c r="I17">
        <v>2.0500000000000001E-2</v>
      </c>
      <c r="O17" t="s">
        <v>35</v>
      </c>
    </row>
    <row r="18" spans="1:15">
      <c r="A18" s="2">
        <v>0.87017123632395432</v>
      </c>
      <c r="B18" t="s">
        <v>3</v>
      </c>
      <c r="C18" s="1">
        <v>1.84E-2</v>
      </c>
      <c r="D18">
        <v>2.23E-2</v>
      </c>
      <c r="E18">
        <v>2.75E-2</v>
      </c>
      <c r="F18">
        <v>2.9899999999999999E-2</v>
      </c>
      <c r="G18">
        <v>2.0400000000000001E-2</v>
      </c>
      <c r="H18">
        <v>1.24E-2</v>
      </c>
      <c r="I18">
        <v>2.06E-2</v>
      </c>
      <c r="O18" t="s">
        <v>36</v>
      </c>
    </row>
    <row r="19" spans="1:15">
      <c r="A19" s="2">
        <v>-0.19358432896332808</v>
      </c>
      <c r="B19" t="s">
        <v>33</v>
      </c>
      <c r="C19" s="1">
        <v>2.5000000000000001E-2</v>
      </c>
      <c r="D19">
        <v>2.75E-2</v>
      </c>
      <c r="E19">
        <v>4.0300000000000002E-2</v>
      </c>
      <c r="F19">
        <v>4.3799999999999999E-2</v>
      </c>
      <c r="G19">
        <v>2.5899999999999999E-2</v>
      </c>
      <c r="H19">
        <v>1.77E-2</v>
      </c>
      <c r="I19">
        <v>2.7300000000000001E-2</v>
      </c>
      <c r="O19" t="s">
        <v>37</v>
      </c>
    </row>
    <row r="20" spans="1:15">
      <c r="A20" s="2">
        <v>-0.52380727558822271</v>
      </c>
      <c r="B20" t="s">
        <v>5</v>
      </c>
      <c r="C20" s="1">
        <v>2.8799999999999999E-2</v>
      </c>
      <c r="D20">
        <v>2.9899999999999999E-2</v>
      </c>
      <c r="E20">
        <v>4.3799999999999999E-2</v>
      </c>
      <c r="F20">
        <v>5.1499999999999997E-2</v>
      </c>
      <c r="G20">
        <v>3.0099999999999998E-2</v>
      </c>
      <c r="H20">
        <v>1.83E-2</v>
      </c>
      <c r="I20">
        <v>3.0499999999999999E-2</v>
      </c>
      <c r="O20" t="s">
        <v>38</v>
      </c>
    </row>
    <row r="21" spans="1:15">
      <c r="A21" s="2">
        <v>7.7396096593094404E-2</v>
      </c>
      <c r="B21" t="s">
        <v>6</v>
      </c>
      <c r="C21" s="1">
        <v>1.95E-2</v>
      </c>
      <c r="D21">
        <v>2.0400000000000001E-2</v>
      </c>
      <c r="E21">
        <v>2.5899999999999999E-2</v>
      </c>
      <c r="F21">
        <v>3.0099999999999998E-2</v>
      </c>
      <c r="G21">
        <v>2.6100000000000002E-2</v>
      </c>
      <c r="H21">
        <v>1.47E-2</v>
      </c>
      <c r="I21">
        <v>2.3400000000000001E-2</v>
      </c>
      <c r="O21" t="s">
        <v>39</v>
      </c>
    </row>
    <row r="22" spans="1:15">
      <c r="A22" s="2">
        <v>0.20578182707548853</v>
      </c>
      <c r="B22" t="s">
        <v>7</v>
      </c>
      <c r="C22" s="1">
        <v>1.21E-2</v>
      </c>
      <c r="D22">
        <v>1.24E-2</v>
      </c>
      <c r="E22">
        <v>1.77E-2</v>
      </c>
      <c r="F22">
        <v>1.83E-2</v>
      </c>
      <c r="G22">
        <v>1.47E-2</v>
      </c>
      <c r="H22">
        <v>3.5299999999999998E-2</v>
      </c>
      <c r="I22">
        <v>1.5800000000000002E-2</v>
      </c>
      <c r="O22" t="s">
        <v>40</v>
      </c>
    </row>
    <row r="23" spans="1:15">
      <c r="A23" s="2">
        <v>-5.0911737018963496E-2</v>
      </c>
      <c r="B23" t="s">
        <v>8</v>
      </c>
      <c r="C23" s="1">
        <v>2.0500000000000001E-2</v>
      </c>
      <c r="D23">
        <v>2.06E-2</v>
      </c>
      <c r="E23">
        <v>2.7300000000000001E-2</v>
      </c>
      <c r="F23">
        <v>3.0499999999999999E-2</v>
      </c>
      <c r="G23">
        <v>2.3400000000000001E-2</v>
      </c>
      <c r="H23">
        <v>1.5800000000000002E-2</v>
      </c>
      <c r="I23">
        <v>2.98E-2</v>
      </c>
      <c r="O23" t="s">
        <v>41</v>
      </c>
    </row>
    <row r="24" spans="1:15">
      <c r="A24">
        <f>SUM(A17:A23)</f>
        <v>1.0000001457743226</v>
      </c>
      <c r="C24">
        <f>C15*SUMPRODUCT($A17:$A23,C17:C23)</f>
        <v>7.8814780736798217E-3</v>
      </c>
      <c r="D24">
        <f>D15*SUMPRODUCT($A17:$A23,D17:D23)</f>
        <v>1.1152432047026772E-2</v>
      </c>
      <c r="E24">
        <f>E15*SUMPRODUCT($A17:$A23,E17:E23)</f>
        <v>-2.4810477812659093E-3</v>
      </c>
      <c r="F24">
        <f>F15*SUMPRODUCT($A17:$A23,F17:F23)</f>
        <v>-6.7133017011953497E-3</v>
      </c>
      <c r="G24">
        <f>G15*SUMPRODUCT($A17:$A23,G17:G23)</f>
        <v>9.9193668712176932E-4</v>
      </c>
      <c r="H24">
        <f>H15*SUMPRODUCT($A17:$A23,H17:H23)</f>
        <v>2.6373761577724994E-3</v>
      </c>
      <c r="I24">
        <f>I15*SUMPRODUCT($A17:$A23,I17:I23)</f>
        <v>-6.5250360082441086E-4</v>
      </c>
    </row>
    <row r="25" spans="1:15">
      <c r="B25" t="s">
        <v>14</v>
      </c>
      <c r="C25">
        <f>SUMPRODUCT(A17:A23,B5:B11)</f>
        <v>3.8306213428494398E-2</v>
      </c>
    </row>
    <row r="26" spans="1:15">
      <c r="B26" t="s">
        <v>15</v>
      </c>
      <c r="C26">
        <f>SUM(C24:I24)^0.5</f>
        <v>0.11320940721651708</v>
      </c>
    </row>
    <row r="27" spans="1:15">
      <c r="B27" t="s">
        <v>16</v>
      </c>
      <c r="C27">
        <f>C25/C26</f>
        <v>0.33836599245884558</v>
      </c>
    </row>
    <row r="29" spans="1:15">
      <c r="A29" t="s">
        <v>17</v>
      </c>
    </row>
    <row r="30" spans="1:15">
      <c r="A30" t="s">
        <v>18</v>
      </c>
    </row>
    <row r="31" spans="1:15">
      <c r="A31" t="s">
        <v>19</v>
      </c>
    </row>
    <row r="32" spans="1:15">
      <c r="A32" t="s">
        <v>20</v>
      </c>
    </row>
    <row r="33" spans="1:12">
      <c r="A33" t="s">
        <v>21</v>
      </c>
    </row>
    <row r="34" spans="1:12">
      <c r="A34" t="s">
        <v>22</v>
      </c>
    </row>
    <row r="35" spans="1:12">
      <c r="A35" t="s">
        <v>23</v>
      </c>
    </row>
    <row r="36" spans="1:12">
      <c r="A36" t="s">
        <v>24</v>
      </c>
    </row>
    <row r="37" spans="1:12">
      <c r="A37" t="s">
        <v>25</v>
      </c>
    </row>
    <row r="39" spans="1:12">
      <c r="A39" t="s">
        <v>26</v>
      </c>
      <c r="B39" t="s">
        <v>27</v>
      </c>
    </row>
    <row r="41" spans="1:12">
      <c r="A41" t="s">
        <v>28</v>
      </c>
      <c r="B41">
        <v>3.5000000000000003E-2</v>
      </c>
      <c r="C41">
        <v>3.8306199999999999E-2</v>
      </c>
      <c r="D41">
        <v>0.04</v>
      </c>
      <c r="E41">
        <v>4.4999999999999998E-2</v>
      </c>
      <c r="F41">
        <v>0.05</v>
      </c>
      <c r="G41">
        <v>5.5E-2</v>
      </c>
      <c r="H41">
        <v>5.6345300000000001E-2</v>
      </c>
      <c r="I41">
        <v>5.7500000000000002E-2</v>
      </c>
      <c r="J41">
        <v>0.06</v>
      </c>
      <c r="K41">
        <v>7.0000060000000003E-2</v>
      </c>
      <c r="L41">
        <v>0.08</v>
      </c>
    </row>
    <row r="42" spans="1:12">
      <c r="A42" t="s">
        <v>29</v>
      </c>
      <c r="B42">
        <v>0.11410082000000001</v>
      </c>
      <c r="C42">
        <v>0.1132094</v>
      </c>
      <c r="D42">
        <v>0.11344406999999999</v>
      </c>
      <c r="E42">
        <v>0.1168202</v>
      </c>
      <c r="F42">
        <v>0.12390105</v>
      </c>
      <c r="G42">
        <v>0.13409835000000001</v>
      </c>
      <c r="H42">
        <v>0.13728989999999999</v>
      </c>
      <c r="I42">
        <v>0.14016294000000001</v>
      </c>
      <c r="J42">
        <v>0.14676773000000001</v>
      </c>
      <c r="K42">
        <v>0.17731074999999999</v>
      </c>
      <c r="L42">
        <v>0.21222940000000001</v>
      </c>
    </row>
    <row r="43" spans="1:12">
      <c r="A43" t="s">
        <v>30</v>
      </c>
      <c r="B43">
        <v>0.30674625</v>
      </c>
      <c r="C43">
        <v>0.33836579999999999</v>
      </c>
      <c r="D43">
        <v>0.35259666000000001</v>
      </c>
      <c r="E43">
        <v>0.38520736</v>
      </c>
      <c r="F43">
        <v>0.40354782</v>
      </c>
      <c r="G43">
        <v>0.41014673000000001</v>
      </c>
      <c r="H43">
        <v>0.41041080000000002</v>
      </c>
      <c r="I43">
        <v>0.41023682</v>
      </c>
      <c r="J43">
        <v>0.40880920999999998</v>
      </c>
      <c r="K43">
        <v>0.39478744999999998</v>
      </c>
      <c r="L43">
        <v>0.37695060000000002</v>
      </c>
    </row>
    <row r="44" spans="1:12">
      <c r="A44" t="s">
        <v>2</v>
      </c>
      <c r="B44" s="2">
        <v>0.59989674600276865</v>
      </c>
      <c r="C44" s="2">
        <v>0.61495651123066863</v>
      </c>
      <c r="D44" s="2">
        <v>0.6225902945044216</v>
      </c>
      <c r="E44" s="2">
        <v>0.64543974581156027</v>
      </c>
      <c r="F44" s="2">
        <v>0.66953021232573973</v>
      </c>
      <c r="G44" s="2">
        <v>0.69098226015670161</v>
      </c>
      <c r="H44" s="2">
        <v>0.697648637923586</v>
      </c>
      <c r="I44" s="2">
        <v>0.7035432501586325</v>
      </c>
      <c r="J44" s="2">
        <v>0.71558628987528505</v>
      </c>
      <c r="K44" s="2">
        <v>0.76449416766896483</v>
      </c>
      <c r="L44" s="2">
        <v>0.80365332714645299</v>
      </c>
    </row>
    <row r="45" spans="1:12">
      <c r="A45" t="s">
        <v>3</v>
      </c>
      <c r="B45" s="2">
        <v>1.0066230789999113</v>
      </c>
      <c r="C45" s="2">
        <v>0.87016919125363046</v>
      </c>
      <c r="D45" s="2">
        <v>0.80080610362429472</v>
      </c>
      <c r="E45" s="2">
        <v>0.59390698437471479</v>
      </c>
      <c r="F45" s="2">
        <v>0.3855352114721407</v>
      </c>
      <c r="G45" s="2">
        <v>0.18118982380631912</v>
      </c>
      <c r="H45" s="2">
        <v>0.12537379745581662</v>
      </c>
      <c r="I45" s="2">
        <v>7.8048028710862069E-2</v>
      </c>
      <c r="J45" s="2">
        <v>-2.3916551924825502E-2</v>
      </c>
      <c r="K45" s="2">
        <v>-0.43906231725316663</v>
      </c>
      <c r="L45" s="2">
        <v>-0.84570076857263954</v>
      </c>
    </row>
    <row r="46" spans="1:12">
      <c r="A46" t="s">
        <v>4</v>
      </c>
      <c r="B46" s="2">
        <v>-0.2135667527688199</v>
      </c>
      <c r="C46" s="2">
        <v>-0.19357946757701003</v>
      </c>
      <c r="D46" s="2">
        <v>-0.184135054583911</v>
      </c>
      <c r="E46" s="2">
        <v>-0.15311585734960784</v>
      </c>
      <c r="F46" s="2">
        <v>-0.11773860561541553</v>
      </c>
      <c r="G46" s="2">
        <v>-9.266054731421372E-2</v>
      </c>
      <c r="H46" s="2">
        <v>-8.4486326364244135E-2</v>
      </c>
      <c r="I46" s="2">
        <v>-7.6427975619620642E-2</v>
      </c>
      <c r="J46" s="2">
        <v>-6.3002694103300727E-2</v>
      </c>
      <c r="K46" s="2">
        <v>4.2141290097314548E-3</v>
      </c>
      <c r="L46" s="2">
        <v>4.6378432684715809E-2</v>
      </c>
    </row>
    <row r="47" spans="1:12">
      <c r="A47" t="s">
        <v>5</v>
      </c>
      <c r="B47" s="2">
        <v>-0.62224571211041069</v>
      </c>
      <c r="C47" s="2">
        <v>-0.52381193460296871</v>
      </c>
      <c r="D47" s="2">
        <v>-0.47283821683570332</v>
      </c>
      <c r="E47" s="2">
        <v>-0.32451620717542445</v>
      </c>
      <c r="F47" s="2">
        <v>-0.17877909508291434</v>
      </c>
      <c r="G47" s="2">
        <v>-2.6790156415287369E-2</v>
      </c>
      <c r="H47" s="2">
        <v>1.3161502026982894E-2</v>
      </c>
      <c r="I47" s="2">
        <v>4.7271545101777536E-2</v>
      </c>
      <c r="J47" s="2">
        <v>0.12319428385935777</v>
      </c>
      <c r="K47" s="2">
        <v>0.41699211853925061</v>
      </c>
      <c r="L47" s="2">
        <v>0.72543910279178414</v>
      </c>
    </row>
    <row r="48" spans="1:12">
      <c r="A48" t="s">
        <v>6</v>
      </c>
      <c r="B48" s="2">
        <v>6.7875856648878394E-2</v>
      </c>
      <c r="C48" s="2">
        <v>7.7396300826473502E-2</v>
      </c>
      <c r="D48" s="2">
        <v>8.1066512647099909E-2</v>
      </c>
      <c r="E48" s="2">
        <v>9.6679525820039927E-2</v>
      </c>
      <c r="F48" s="2">
        <v>0.11516901799419831</v>
      </c>
      <c r="G48" s="2">
        <v>0.12548861589648869</v>
      </c>
      <c r="H48" s="2">
        <v>0.12931616358763118</v>
      </c>
      <c r="I48" s="2">
        <v>0.13496810991075239</v>
      </c>
      <c r="J48" s="2">
        <v>0.14301961298257387</v>
      </c>
      <c r="K48" s="2">
        <v>0.17747129979960635</v>
      </c>
      <c r="L48" s="2">
        <v>0.19371771721689154</v>
      </c>
    </row>
    <row r="49" spans="1:12">
      <c r="A49" t="s">
        <v>7</v>
      </c>
      <c r="B49" s="2">
        <v>0.21970627080838684</v>
      </c>
      <c r="C49" s="2">
        <v>0.20578137128655541</v>
      </c>
      <c r="D49" s="2">
        <v>0.19868564374924333</v>
      </c>
      <c r="E49" s="2">
        <v>0.17758597617200256</v>
      </c>
      <c r="F49" s="2">
        <v>0.156547457971905</v>
      </c>
      <c r="G49" s="2">
        <v>0.13546395997562</v>
      </c>
      <c r="H49" s="2">
        <v>0.12984841030320515</v>
      </c>
      <c r="I49" s="2">
        <v>0.12516301230903212</v>
      </c>
      <c r="J49" s="2">
        <v>0.11500827186775375</v>
      </c>
      <c r="K49" s="2">
        <v>7.3180440840872163E-2</v>
      </c>
      <c r="L49" s="2">
        <v>3.0608845001158177E-2</v>
      </c>
    </row>
    <row r="50" spans="1:12">
      <c r="A50" t="s">
        <v>8</v>
      </c>
      <c r="B50" s="2">
        <v>-5.8289495275608394E-2</v>
      </c>
      <c r="C50" s="2">
        <v>-5.0911873428728244E-2</v>
      </c>
      <c r="D50" s="2">
        <v>-4.6175282360502633E-2</v>
      </c>
      <c r="E50" s="2">
        <v>-3.5980166576256377E-2</v>
      </c>
      <c r="F50" s="2">
        <v>-3.0264196968355504E-2</v>
      </c>
      <c r="G50" s="2">
        <v>-1.3673955964459219E-2</v>
      </c>
      <c r="H50" s="2">
        <v>-1.0862082287727387E-2</v>
      </c>
      <c r="I50" s="2">
        <v>-1.2565962785522669E-2</v>
      </c>
      <c r="J50" s="2">
        <v>-9.8892184016862866E-3</v>
      </c>
      <c r="K50" s="2">
        <v>2.7101403297046028E-3</v>
      </c>
      <c r="L50" s="2">
        <v>4.5903344730669711E-2</v>
      </c>
    </row>
    <row r="51" spans="1:12">
      <c r="A51" t="s">
        <v>31</v>
      </c>
      <c r="B51">
        <f>B42*H43</f>
        <v>4.6828208816856003E-2</v>
      </c>
      <c r="C51">
        <f>C42*H43</f>
        <v>4.6462360421520001E-2</v>
      </c>
      <c r="D51">
        <f>D42*H43</f>
        <v>4.6558671523956E-2</v>
      </c>
      <c r="E51">
        <f>E42*H43</f>
        <v>4.7944271738160002E-2</v>
      </c>
      <c r="F51">
        <f>F42*H43</f>
        <v>5.0850329051340001E-2</v>
      </c>
      <c r="G51">
        <f>G42*H43</f>
        <v>5.5035411102180007E-2</v>
      </c>
      <c r="H51">
        <f>H42*H43</f>
        <v>5.6345257690919998E-2</v>
      </c>
      <c r="I51">
        <f>I42*H43</f>
        <v>5.7524384335752007E-2</v>
      </c>
      <c r="J51">
        <f>J42*H43</f>
        <v>6.0235061483484009E-2</v>
      </c>
      <c r="K51">
        <f>K42*H43</f>
        <v>7.2770246756099999E-2</v>
      </c>
      <c r="L51">
        <f>L42*H43</f>
        <v>8.710123783752001E-2</v>
      </c>
    </row>
    <row r="52" spans="1:12">
      <c r="A52" t="s">
        <v>32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王元妤</dc:creator>
  <cp:lastModifiedBy>王元妤</cp:lastModifiedBy>
  <dcterms:created xsi:type="dcterms:W3CDTF">2025-05-07T15:51:42Z</dcterms:created>
  <dcterms:modified xsi:type="dcterms:W3CDTF">2025-05-11T14:04:54Z</dcterms:modified>
</cp:coreProperties>
</file>